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ejja\Desktop\RNW\PROJECTS\excel project\"/>
    </mc:Choice>
  </mc:AlternateContent>
  <xr:revisionPtr revIDLastSave="0" documentId="13_ncr:1_{80410A8D-A5A8-4D56-8605-009DBA42C09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" sheetId="1" r:id="rId1"/>
    <sheet name="Sales" sheetId="2" r:id="rId2"/>
    <sheet name="Employe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M29" i="2"/>
  <c r="H16" i="3"/>
  <c r="H15" i="3"/>
  <c r="H14" i="3"/>
  <c r="H12" i="3"/>
  <c r="H10" i="3"/>
  <c r="H9" i="3"/>
  <c r="H7" i="3"/>
  <c r="H4" i="3" a="1"/>
  <c r="H4" i="3" s="1"/>
  <c r="L2" i="3"/>
  <c r="K2" i="3"/>
  <c r="J2" i="3"/>
  <c r="I2" i="3"/>
  <c r="N25" i="2"/>
  <c r="N23" i="2"/>
  <c r="N24" i="2"/>
  <c r="M23" i="2"/>
  <c r="N20" i="2" a="1"/>
  <c r="N20" i="2" s="1"/>
  <c r="M17" i="2"/>
  <c r="M14" i="2"/>
  <c r="M13" i="2"/>
  <c r="M12" i="2"/>
  <c r="M11" i="2"/>
  <c r="M10" i="2"/>
  <c r="M9" i="2"/>
  <c r="M5" i="2"/>
  <c r="M4" i="2"/>
  <c r="M3" i="2"/>
  <c r="M2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P9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9" i="1"/>
  <c r="I10" i="1"/>
  <c r="I11" i="1"/>
  <c r="I12" i="1"/>
  <c r="I17" i="1"/>
  <c r="I18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H10" i="1"/>
  <c r="H11" i="1"/>
  <c r="H12" i="1"/>
  <c r="H13" i="1"/>
  <c r="I13" i="1" s="1"/>
  <c r="H14" i="1"/>
  <c r="I14" i="1" s="1"/>
  <c r="H15" i="1"/>
  <c r="I15" i="1" s="1"/>
  <c r="H16" i="1"/>
  <c r="I16" i="1" s="1"/>
  <c r="H17" i="1"/>
  <c r="H18" i="1"/>
  <c r="H19" i="1"/>
  <c r="I19" i="1" s="1"/>
  <c r="H20" i="1"/>
  <c r="I20" i="1" s="1"/>
  <c r="H21" i="1"/>
  <c r="I21" i="1" s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B25" i="1" l="1" a="1"/>
  <c r="B25" i="1" s="1"/>
  <c r="M6" i="2"/>
  <c r="P2" i="1" l="1"/>
  <c r="P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<sst xmlns="http://schemas.openxmlformats.org/spreadsheetml/2006/main" count="253" uniqueCount="188">
  <si>
    <t>Student ID</t>
  </si>
  <si>
    <t>Name</t>
  </si>
  <si>
    <t>Math</t>
  </si>
  <si>
    <t>Science</t>
  </si>
  <si>
    <t>English</t>
  </si>
  <si>
    <t>Enrollment Date</t>
  </si>
  <si>
    <t>Student 1</t>
  </si>
  <si>
    <t>2018-01-01</t>
  </si>
  <si>
    <t>Student 2</t>
  </si>
  <si>
    <t>2018-06-30</t>
  </si>
  <si>
    <t>Student 3</t>
  </si>
  <si>
    <t>2018-12-27</t>
  </si>
  <si>
    <t>Student 4</t>
  </si>
  <si>
    <t>2019-06-25</t>
  </si>
  <si>
    <t>Student 5</t>
  </si>
  <si>
    <t>2019-12-22</t>
  </si>
  <si>
    <t>Student 6</t>
  </si>
  <si>
    <t>2020-06-19</t>
  </si>
  <si>
    <t>Student 7</t>
  </si>
  <si>
    <t>2020-12-16</t>
  </si>
  <si>
    <t>Student 8</t>
  </si>
  <si>
    <t>2021-06-14</t>
  </si>
  <si>
    <t>Student 9</t>
  </si>
  <si>
    <t>2021-12-11</t>
  </si>
  <si>
    <t>Student 10</t>
  </si>
  <si>
    <t>2022-06-09</t>
  </si>
  <si>
    <t>Student 11</t>
  </si>
  <si>
    <t>2022-12-06</t>
  </si>
  <si>
    <t>Student 12</t>
  </si>
  <si>
    <t>2023-06-04</t>
  </si>
  <si>
    <t>Student 13</t>
  </si>
  <si>
    <t>2023-12-01</t>
  </si>
  <si>
    <t>Student 14</t>
  </si>
  <si>
    <t>2024-05-29</t>
  </si>
  <si>
    <t>Student 15</t>
  </si>
  <si>
    <t>2024-11-25</t>
  </si>
  <si>
    <t>Student 16</t>
  </si>
  <si>
    <t>2025-05-24</t>
  </si>
  <si>
    <t>Student 17</t>
  </si>
  <si>
    <t>2025-11-20</t>
  </si>
  <si>
    <t>Student 18</t>
  </si>
  <si>
    <t>2026-05-19</t>
  </si>
  <si>
    <t>Student 19</t>
  </si>
  <si>
    <t>2026-11-15</t>
  </si>
  <si>
    <t>Student 20</t>
  </si>
  <si>
    <t>2027-05-14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</si>
  <si>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</si>
  <si>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</si>
  <si>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</si>
  <si>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</si>
  <si>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</si>
  <si>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</si>
  <si>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</si>
  <si>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</si>
  <si>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</si>
  <si>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2023-01-01</t>
  </si>
  <si>
    <t>Printer</t>
  </si>
  <si>
    <t>West</t>
  </si>
  <si>
    <t>Person 2</t>
  </si>
  <si>
    <t>2023-01-16</t>
  </si>
  <si>
    <t>Mouse</t>
  </si>
  <si>
    <t>Person 3</t>
  </si>
  <si>
    <t>2023-01-31</t>
  </si>
  <si>
    <t>East</t>
  </si>
  <si>
    <t>Person 4</t>
  </si>
  <si>
    <t>2023-02-15</t>
  </si>
  <si>
    <t>North</t>
  </si>
  <si>
    <t>Person 5</t>
  </si>
  <si>
    <t>2023-03-02</t>
  </si>
  <si>
    <t>Person 6</t>
  </si>
  <si>
    <t>2023-03-17</t>
  </si>
  <si>
    <t>Person 7</t>
  </si>
  <si>
    <t>2023-04-01</t>
  </si>
  <si>
    <t>Person 8</t>
  </si>
  <si>
    <t>2023-04-16</t>
  </si>
  <si>
    <t>Person 9</t>
  </si>
  <si>
    <t>2023-05-01</t>
  </si>
  <si>
    <t>Person 10</t>
  </si>
  <si>
    <t>2023-05-16</t>
  </si>
  <si>
    <t>Person 11</t>
  </si>
  <si>
    <t>2023-05-31</t>
  </si>
  <si>
    <t>Monitor</t>
  </si>
  <si>
    <t>Person 12</t>
  </si>
  <si>
    <t>2023-06-15</t>
  </si>
  <si>
    <t>Laptop</t>
  </si>
  <si>
    <t>Person 13</t>
  </si>
  <si>
    <t>2023-06-30</t>
  </si>
  <si>
    <t>Person 14</t>
  </si>
  <si>
    <t>2023-07-15</t>
  </si>
  <si>
    <t>Person 15</t>
  </si>
  <si>
    <t>2023-07-30</t>
  </si>
  <si>
    <t>Person 16</t>
  </si>
  <si>
    <t>2023-08-14</t>
  </si>
  <si>
    <t>Person 17</t>
  </si>
  <si>
    <t>2023-08-29</t>
  </si>
  <si>
    <t>Person 18</t>
  </si>
  <si>
    <t>2023-09-13</t>
  </si>
  <si>
    <t>Person 19</t>
  </si>
  <si>
    <t>2023-09-28</t>
  </si>
  <si>
    <t>Person 20</t>
  </si>
  <si>
    <t>2023-10-13</t>
  </si>
  <si>
    <t>Employee ID</t>
  </si>
  <si>
    <t>Department</t>
  </si>
  <si>
    <t>Salary</t>
  </si>
  <si>
    <t>Joining Date</t>
  </si>
  <si>
    <t>Employee 1</t>
  </si>
  <si>
    <t>Finance</t>
  </si>
  <si>
    <t>2015-01-01</t>
  </si>
  <si>
    <t>Employee 2</t>
  </si>
  <si>
    <t>2015-09-08</t>
  </si>
  <si>
    <t>Employee 3</t>
  </si>
  <si>
    <t>HR</t>
  </si>
  <si>
    <t>2016-05-15</t>
  </si>
  <si>
    <t>Employee 4</t>
  </si>
  <si>
    <t>2017-01-20</t>
  </si>
  <si>
    <t>Employee 5</t>
  </si>
  <si>
    <t>IT</t>
  </si>
  <si>
    <t>2017-09-27</t>
  </si>
  <si>
    <t>Employee 6</t>
  </si>
  <si>
    <t>2018-06-04</t>
  </si>
  <si>
    <t>Employee 7</t>
  </si>
  <si>
    <t>Marketing</t>
  </si>
  <si>
    <t>2019-02-09</t>
  </si>
  <si>
    <t>Employee 8</t>
  </si>
  <si>
    <t>2019-10-17</t>
  </si>
  <si>
    <t>Employee 9</t>
  </si>
  <si>
    <t>2020-06-23</t>
  </si>
  <si>
    <t>Employee 10</t>
  </si>
  <si>
    <t>2021-02-28</t>
  </si>
  <si>
    <t>Employee 11</t>
  </si>
  <si>
    <t>2021-11-05</t>
  </si>
  <si>
    <t>Employee 12</t>
  </si>
  <si>
    <t>2022-07-13</t>
  </si>
  <si>
    <t>Employee 13</t>
  </si>
  <si>
    <t>2023-03-20</t>
  </si>
  <si>
    <t>Employee 14</t>
  </si>
  <si>
    <t>2023-11-25</t>
  </si>
  <si>
    <t>Employee 15</t>
  </si>
  <si>
    <t>2024-08-01</t>
  </si>
  <si>
    <t>Employee 16</t>
  </si>
  <si>
    <t>2025-04-08</t>
  </si>
  <si>
    <t>Employee 17</t>
  </si>
  <si>
    <t>2025-12-14</t>
  </si>
  <si>
    <t>Employee 18</t>
  </si>
  <si>
    <t>2026-08-21</t>
  </si>
  <si>
    <t>Employee 19</t>
  </si>
  <si>
    <t>2027-04-28</t>
  </si>
  <si>
    <t>Employee 20</t>
  </si>
  <si>
    <t>2028-01-03</t>
  </si>
  <si>
    <t>Total Marks</t>
  </si>
  <si>
    <t>Average Marks</t>
  </si>
  <si>
    <t>Grade</t>
  </si>
  <si>
    <t>Topper</t>
  </si>
  <si>
    <t>Eligible</t>
  </si>
  <si>
    <t>Years Since Enrollment</t>
  </si>
  <si>
    <t>Students with Avg &gt;60</t>
  </si>
  <si>
    <t>Month</t>
  </si>
  <si>
    <t>Year</t>
  </si>
  <si>
    <t>Sales Category</t>
  </si>
  <si>
    <t>enter Sales ID</t>
  </si>
  <si>
    <t>Students with math &gt;50</t>
  </si>
  <si>
    <t>enter student ID below</t>
  </si>
  <si>
    <t>eligible for discount</t>
  </si>
  <si>
    <t>Total sale</t>
  </si>
  <si>
    <t>enter sales ID</t>
  </si>
  <si>
    <t>amount</t>
  </si>
  <si>
    <t>Jan</t>
  </si>
  <si>
    <t>enetr salesperson</t>
  </si>
  <si>
    <t>enter month</t>
  </si>
  <si>
    <t>sales by details</t>
  </si>
  <si>
    <t>row position of Sales ID</t>
  </si>
  <si>
    <t>sales by</t>
  </si>
  <si>
    <t>enter employee id</t>
  </si>
  <si>
    <t>salary</t>
  </si>
  <si>
    <t>enter needed column</t>
  </si>
  <si>
    <t>First Name using LEFT + FIND</t>
  </si>
  <si>
    <t>Convert Names to UPPERCASE</t>
  </si>
  <si>
    <t>Convert Names to lowercase</t>
  </si>
  <si>
    <t>Salary Lookup</t>
  </si>
  <si>
    <t>ROUND function</t>
  </si>
  <si>
    <t>CEILING function</t>
  </si>
  <si>
    <t>FLOOR function</t>
  </si>
  <si>
    <t>top-performing students based on scores</t>
  </si>
  <si>
    <t>enter region</t>
  </si>
  <si>
    <t>enter product</t>
  </si>
  <si>
    <t>total sale</t>
  </si>
  <si>
    <t>north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</si>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</sst>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164" fontId="0" fillId="0" borderId="0" xfId="0" applyNumberFormat="1"/>
    <xf numFmtId="0" fontId="3" fillId="0" borderId="0" xfId="0" applyFont="1"/>
    <xf numFmtId="0" fontId="0" fillId="3" borderId="0" xfId="0" applyFill="1"/>
    <xf numFmtId="0" fontId="3" fillId="3" borderId="0" xfId="0" applyFont="1" applyFill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3">
    <dxf>
      <numFmt numFmtId="164" formatCode="[$-14009]yyyy/mm/dd;@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40B4B-D664-45EF-8D6C-8BE16564C12D}" name="Table1" displayName="Table1" ref="A1:L21" totalsRowShown="0" headerRowDxfId="2">
  <autoFilter ref="A1:L21" xr:uid="{87640B4B-D664-45EF-8D6C-8BE16564C12D}"/>
  <tableColumns count="12">
    <tableColumn id="1" xr3:uid="{09460210-887D-40CF-91A9-D980CF84B0EE}" name="Student ID"/>
    <tableColumn id="2" xr3:uid="{4A466349-001B-4C95-B16A-DC83186A336E}" name="Name"/>
    <tableColumn id="3" xr3:uid="{ED9A7BAE-70A0-43F2-A79E-80A8D5A9260F}" name="Math"/>
    <tableColumn id="4" xr3:uid="{B8D84444-EE43-4F6D-9F59-05E578C16FB1}" name="Science"/>
    <tableColumn id="5" xr3:uid="{518CA4F5-0D2D-4592-A669-24E9F994BCC2}" name="English"/>
    <tableColumn id="6" xr3:uid="{F319AC84-D0EE-4C0F-BE4D-0BD036F168B2}" name="Enrollment Date"/>
    <tableColumn id="7" xr3:uid="{A4310349-7F19-49A9-AA77-C9C9A2A3D204}" name="Total Marks">
      <calculatedColumnFormula>SUM(C2:E2)</calculatedColumnFormula>
    </tableColumn>
    <tableColumn id="8" xr3:uid="{3BBF8ABF-2AD1-4BBC-8079-95D81F1F1F83}" name="Average Marks">
      <calculatedColumnFormula>AVERAGE(C2:E2)</calculatedColumnFormula>
    </tableColumn>
    <tableColumn id="9" xr3:uid="{EB769265-4D8C-4A44-BA64-B2D931213EBC}" name="Grade">
      <calculatedColumnFormula>IF(H2&gt;=80,"A",IF(H2&gt;=60,"B",IF(H2&gt;=40,"C","Fail")))</calculatedColumnFormula>
    </tableColumn>
    <tableColumn id="10" xr3:uid="{F958AE5B-84FD-432D-BCFD-69643965925D}" name="Topper">
      <calculatedColumnFormula>IF(AND(C2&gt;80,D2&gt;80),"Topper","No")</calculatedColumnFormula>
    </tableColumn>
    <tableColumn id="11" xr3:uid="{CCE4EDCF-C3A1-4DAA-9786-E44C8B6B93A7}" name="Eligible" dataDxfId="1">
      <calculatedColumnFormula>IF(AND(C2&gt;60,D2&gt;60,E2&gt;60),"Yes","No")</calculatedColumnFormula>
    </tableColumn>
    <tableColumn id="12" xr3:uid="{5238CD59-55ED-4363-8836-204DB3260323}" name="Years Since Enrollment">
      <calculatedColumnFormula>DATEDIF(F2,TODAY(),"Y")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02BCC4-982C-4660-8954-2FCCB8890998}" name="Table2" displayName="Table2" ref="A1:J21" totalsRowShown="0">
  <autoFilter ref="A1:J21" xr:uid="{0502BCC4-982C-4660-8954-2FCCB8890998}"/>
  <tableColumns count="10">
    <tableColumn id="1" xr3:uid="{BB8750C5-CA8D-487D-9DC0-154B0996D20C}" name="Sales ID"/>
    <tableColumn id="2" xr3:uid="{7C7C1128-3917-4578-A5BD-E18C83AF4477}" name="Product"/>
    <tableColumn id="3" xr3:uid="{1213E980-63FF-4C5B-9323-C2D731F1A843}" name="Region"/>
    <tableColumn id="4" xr3:uid="{4006394D-D6B7-4D8B-9F27-1C3084E1A42E}" name="Salesperson"/>
    <tableColumn id="5" xr3:uid="{3FB21122-631C-4744-82D9-235D99C848FC}" name="Amount"/>
    <tableColumn id="6" xr3:uid="{119A2647-ED98-4207-8014-9D012F42EDAE}" name="Date" dataDxfId="0"/>
    <tableColumn id="7" xr3:uid="{716E6519-254E-4B12-95D9-7BB12666A2F8}" name="Month">
      <calculatedColumnFormula>TEXT(F2,"mmm")</calculatedColumnFormula>
    </tableColumn>
    <tableColumn id="8" xr3:uid="{7BC02234-CFF5-44A7-BB6A-8381BA7D61FD}" name="Year">
      <calculatedColumnFormula>YEAR(F2)</calculatedColumnFormula>
    </tableColumn>
    <tableColumn id="9" xr3:uid="{67F49005-B0B5-40D0-A1F6-718C06DA387E}" name="Sales Category">
      <calculatedColumnFormula>IF(E2&gt;=30000,"High",IF(E2&gt;=15000,"Medium","Low"))</calculatedColumnFormula>
    </tableColumn>
    <tableColumn id="10" xr3:uid="{9F178B27-2008-4115-BE33-FD44BB6237A6}" name="eligible for discount">
      <calculatedColumnFormula>IF(E2&gt;30000,"Yes","No")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D6A365-DE57-4FF0-B4EB-3C0B8DFC0A1F}" name="Table3" displayName="Table3" ref="A1:E21" totalsRowShown="0">
  <autoFilter ref="A1:E21" xr:uid="{A6D6A365-DE57-4FF0-B4EB-3C0B8DFC0A1F}"/>
  <tableColumns count="5">
    <tableColumn id="1" xr3:uid="{0F894EBF-4BB9-4CA5-B4C4-AB08826D8F05}" name="Employee ID"/>
    <tableColumn id="2" xr3:uid="{9B94FBD5-67BF-4BB0-A449-69A3EDC6E4D2}" name="Name"/>
    <tableColumn id="3" xr3:uid="{29E15B4F-0139-410D-A659-CED968703EA1}" name="Department"/>
    <tableColumn id="4" xr3:uid="{83B7320C-5F50-488D-8F6B-CB97970ACD4E}" name="Salary"/>
    <tableColumn id="5" xr3:uid="{7A65C72E-9BA1-4F81-99BC-BB2CC15645EF}" name="Joining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workbookViewId="0">
      <selection activeCell="L2" sqref="L2"/>
    </sheetView>
  </sheetViews>
  <sheetFormatPr defaultRowHeight="14.4" x14ac:dyDescent="0.3"/>
  <cols>
    <col min="1" max="1" width="11.77734375" customWidth="1"/>
    <col min="2" max="3" width="9.6640625" bestFit="1" customWidth="1"/>
    <col min="4" max="4" width="9.21875" customWidth="1"/>
    <col min="5" max="5" width="8.77734375" customWidth="1"/>
    <col min="6" max="6" width="16.44140625" customWidth="1"/>
    <col min="7" max="7" width="12.77734375" customWidth="1"/>
    <col min="8" max="8" width="15.44140625" customWidth="1"/>
    <col min="9" max="9" width="7.88671875" customWidth="1"/>
    <col min="10" max="10" width="8.88671875" customWidth="1"/>
    <col min="11" max="11" width="8.77734375" customWidth="1"/>
    <col min="12" max="12" width="21.88671875" customWidth="1"/>
    <col min="15" max="15" width="20.33203125" bestFit="1" customWidth="1"/>
    <col min="16" max="16" width="14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149</v>
      </c>
      <c r="H1" s="4" t="s">
        <v>150</v>
      </c>
      <c r="I1" s="4" t="s">
        <v>151</v>
      </c>
      <c r="J1" s="4" t="s">
        <v>152</v>
      </c>
      <c r="K1" s="4" t="s">
        <v>153</v>
      </c>
      <c r="L1" s="4" t="s">
        <v>154</v>
      </c>
    </row>
    <row r="2" spans="1:16" x14ac:dyDescent="0.3">
      <c r="A2">
        <v>1001</v>
      </c>
      <c r="B2" t="s">
        <v>6</v>
      </c>
      <c r="C2">
        <v>61</v>
      </c>
      <c r="D2">
        <v>48</v>
      </c>
      <c r="E2">
        <v>76</v>
      </c>
      <c r="F2" t="s">
        <v>7</v>
      </c>
      <c r="G2">
        <f>SUM(C2:E2)</f>
        <v>185</v>
      </c>
      <c r="H2">
        <f>AVERAGE(C2:E2)</f>
        <v>61.666666666666664</v>
      </c>
      <c r="I2" t="str">
        <f>IF(H2&gt;=80,"A",IF(H2&gt;=60,"B",IF(H2&gt;=40,"C","Fail")))</f>
        <v>B</v>
      </c>
      <c r="J2" t="str">
        <f>IF(AND(C2&gt;80,D2&gt;80),"Topper","No")</f>
        <v>No</v>
      </c>
      <c r="K2" t="str">
        <f t="shared" ref="K2:K21" si="0">IF(AND(C2&gt;60,D2&gt;60,E2&gt;60),"Yes","No")</f>
        <v>No</v>
      </c>
      <c r="L2">
        <f ca="1">DATEDIF(F2,TODAY(),"Y")</f>
        <v>8</v>
      </c>
      <c r="O2" s="1" t="s">
        <v>155</v>
      </c>
      <c r="P2">
        <f>COUNTIFS(H:H,"&gt;60")</f>
        <v>19</v>
      </c>
    </row>
    <row r="3" spans="1:16" x14ac:dyDescent="0.3">
      <c r="A3">
        <v>1002</v>
      </c>
      <c r="B3" t="s">
        <v>8</v>
      </c>
      <c r="C3">
        <v>78</v>
      </c>
      <c r="D3">
        <v>76</v>
      </c>
      <c r="E3">
        <v>70</v>
      </c>
      <c r="F3" t="s">
        <v>9</v>
      </c>
      <c r="G3">
        <f t="shared" ref="G3:G21" si="1">SUM(C3:E3)</f>
        <v>224</v>
      </c>
      <c r="H3">
        <f t="shared" ref="H3:H21" si="2">AVERAGE(C3:E3)</f>
        <v>74.666666666666671</v>
      </c>
      <c r="I3" t="str">
        <f t="shared" ref="I3:I21" si="3">IF(H3&gt;=80,"A",IF(H3&gt;=60,"B",IF(H3&gt;=40,"C","Fail")))</f>
        <v>B</v>
      </c>
      <c r="J3" t="str">
        <f t="shared" ref="J3:J21" si="4">IF(AND(C3&gt;80,D3&gt;80),"Topper","No")</f>
        <v>No</v>
      </c>
      <c r="K3" t="str">
        <f t="shared" si="0"/>
        <v>Yes</v>
      </c>
      <c r="L3">
        <f t="shared" ref="L3:L21" ca="1" si="5">DATEDIF(F3,TODAY(),"Y")</f>
        <v>7</v>
      </c>
    </row>
    <row r="4" spans="1:16" x14ac:dyDescent="0.3">
      <c r="A4">
        <v>1003</v>
      </c>
      <c r="B4" t="s">
        <v>10</v>
      </c>
      <c r="C4">
        <v>97</v>
      </c>
      <c r="D4">
        <v>60</v>
      </c>
      <c r="E4">
        <v>51</v>
      </c>
      <c r="F4" t="s">
        <v>11</v>
      </c>
      <c r="G4">
        <f t="shared" si="1"/>
        <v>208</v>
      </c>
      <c r="H4">
        <f t="shared" si="2"/>
        <v>69.333333333333329</v>
      </c>
      <c r="I4" t="str">
        <f t="shared" si="3"/>
        <v>B</v>
      </c>
      <c r="J4" t="str">
        <f t="shared" si="4"/>
        <v>No</v>
      </c>
      <c r="K4" t="str">
        <f t="shared" si="0"/>
        <v>No</v>
      </c>
      <c r="L4">
        <f t="shared" ca="1" si="5"/>
        <v>7</v>
      </c>
    </row>
    <row r="5" spans="1:16" x14ac:dyDescent="0.3">
      <c r="A5">
        <v>1004</v>
      </c>
      <c r="B5" t="s">
        <v>12</v>
      </c>
      <c r="C5">
        <v>74</v>
      </c>
      <c r="D5">
        <v>55</v>
      </c>
      <c r="E5">
        <v>46</v>
      </c>
      <c r="F5" t="s">
        <v>13</v>
      </c>
      <c r="G5">
        <f t="shared" si="1"/>
        <v>175</v>
      </c>
      <c r="H5">
        <f t="shared" si="2"/>
        <v>58.333333333333336</v>
      </c>
      <c r="I5" t="str">
        <f t="shared" si="3"/>
        <v>C</v>
      </c>
      <c r="J5" t="str">
        <f t="shared" si="4"/>
        <v>No</v>
      </c>
      <c r="K5" t="str">
        <f t="shared" si="0"/>
        <v>No</v>
      </c>
      <c r="L5">
        <f t="shared" ca="1" si="5"/>
        <v>6</v>
      </c>
    </row>
    <row r="6" spans="1:16" x14ac:dyDescent="0.3">
      <c r="A6">
        <v>1005</v>
      </c>
      <c r="B6" t="s">
        <v>14</v>
      </c>
      <c r="C6">
        <v>68</v>
      </c>
      <c r="D6">
        <v>74</v>
      </c>
      <c r="E6">
        <v>84</v>
      </c>
      <c r="F6" t="s">
        <v>15</v>
      </c>
      <c r="G6">
        <f t="shared" si="1"/>
        <v>226</v>
      </c>
      <c r="H6">
        <f t="shared" si="2"/>
        <v>75.333333333333329</v>
      </c>
      <c r="I6" t="str">
        <f t="shared" si="3"/>
        <v>B</v>
      </c>
      <c r="J6" t="str">
        <f t="shared" si="4"/>
        <v>No</v>
      </c>
      <c r="K6" t="str">
        <f t="shared" si="0"/>
        <v>Yes</v>
      </c>
      <c r="L6">
        <f t="shared" ca="1" si="5"/>
        <v>6</v>
      </c>
      <c r="O6" s="1" t="s">
        <v>160</v>
      </c>
      <c r="P6">
        <f>COUNTIF(C:C,"&gt;50")</f>
        <v>19</v>
      </c>
    </row>
    <row r="7" spans="1:16" x14ac:dyDescent="0.3">
      <c r="A7">
        <v>1006</v>
      </c>
      <c r="B7" t="s">
        <v>16</v>
      </c>
      <c r="C7">
        <v>80</v>
      </c>
      <c r="D7">
        <v>70</v>
      </c>
      <c r="E7">
        <v>65</v>
      </c>
      <c r="F7" t="s">
        <v>17</v>
      </c>
      <c r="G7">
        <f t="shared" si="1"/>
        <v>215</v>
      </c>
      <c r="H7">
        <f t="shared" si="2"/>
        <v>71.666666666666671</v>
      </c>
      <c r="I7" t="str">
        <f t="shared" si="3"/>
        <v>B</v>
      </c>
      <c r="J7" t="str">
        <f t="shared" si="4"/>
        <v>No</v>
      </c>
      <c r="K7" t="str">
        <f t="shared" si="0"/>
        <v>Yes</v>
      </c>
      <c r="L7">
        <f t="shared" ca="1" si="5"/>
        <v>5</v>
      </c>
    </row>
    <row r="8" spans="1:16" x14ac:dyDescent="0.3">
      <c r="A8">
        <v>1007</v>
      </c>
      <c r="B8" t="s">
        <v>18</v>
      </c>
      <c r="C8">
        <v>75</v>
      </c>
      <c r="D8">
        <v>47</v>
      </c>
      <c r="E8">
        <v>78</v>
      </c>
      <c r="F8" t="s">
        <v>19</v>
      </c>
      <c r="G8">
        <f t="shared" si="1"/>
        <v>200</v>
      </c>
      <c r="H8">
        <f t="shared" si="2"/>
        <v>66.666666666666671</v>
      </c>
      <c r="I8" t="str">
        <f t="shared" si="3"/>
        <v>B</v>
      </c>
      <c r="J8" t="str">
        <f t="shared" si="4"/>
        <v>No</v>
      </c>
      <c r="K8" t="str">
        <f t="shared" si="0"/>
        <v>No</v>
      </c>
      <c r="L8">
        <f t="shared" ca="1" si="5"/>
        <v>5</v>
      </c>
      <c r="O8" s="1" t="s">
        <v>161</v>
      </c>
    </row>
    <row r="9" spans="1:16" x14ac:dyDescent="0.3">
      <c r="A9">
        <v>1008</v>
      </c>
      <c r="B9" t="s">
        <v>20</v>
      </c>
      <c r="C9">
        <v>94</v>
      </c>
      <c r="D9">
        <v>67</v>
      </c>
      <c r="E9">
        <v>64</v>
      </c>
      <c r="F9" t="s">
        <v>21</v>
      </c>
      <c r="G9">
        <f t="shared" si="1"/>
        <v>225</v>
      </c>
      <c r="H9">
        <f t="shared" si="2"/>
        <v>75</v>
      </c>
      <c r="I9" t="str">
        <f t="shared" si="3"/>
        <v>B</v>
      </c>
      <c r="J9" t="str">
        <f t="shared" si="4"/>
        <v>No</v>
      </c>
      <c r="K9" t="str">
        <f t="shared" si="0"/>
        <v>Yes</v>
      </c>
      <c r="L9">
        <f t="shared" ca="1" si="5"/>
        <v>4</v>
      </c>
      <c r="O9">
        <v>1002</v>
      </c>
      <c r="P9" t="str">
        <f>VLOOKUP(O9,$A$2:$B$21,2,FALSE)</f>
        <v>Student 2</v>
      </c>
    </row>
    <row r="10" spans="1:16" x14ac:dyDescent="0.3">
      <c r="A10">
        <v>1009</v>
      </c>
      <c r="B10" t="s">
        <v>22</v>
      </c>
      <c r="C10">
        <v>41</v>
      </c>
      <c r="D10">
        <v>75</v>
      </c>
      <c r="E10">
        <v>56</v>
      </c>
      <c r="F10" t="s">
        <v>23</v>
      </c>
      <c r="G10">
        <f t="shared" si="1"/>
        <v>172</v>
      </c>
      <c r="H10">
        <f t="shared" si="2"/>
        <v>57.333333333333336</v>
      </c>
      <c r="I10" t="str">
        <f t="shared" si="3"/>
        <v>C</v>
      </c>
      <c r="J10" t="str">
        <f t="shared" si="4"/>
        <v>No</v>
      </c>
      <c r="K10" t="str">
        <f t="shared" si="0"/>
        <v>No</v>
      </c>
      <c r="L10">
        <f t="shared" ca="1" si="5"/>
        <v>4</v>
      </c>
    </row>
    <row r="11" spans="1:16" x14ac:dyDescent="0.3">
      <c r="A11">
        <v>1010</v>
      </c>
      <c r="B11" t="s">
        <v>24</v>
      </c>
      <c r="C11">
        <v>98</v>
      </c>
      <c r="D11">
        <v>54</v>
      </c>
      <c r="E11">
        <v>58</v>
      </c>
      <c r="F11" t="s">
        <v>25</v>
      </c>
      <c r="G11">
        <f t="shared" si="1"/>
        <v>210</v>
      </c>
      <c r="H11">
        <f t="shared" si="2"/>
        <v>70</v>
      </c>
      <c r="I11" t="str">
        <f t="shared" si="3"/>
        <v>B</v>
      </c>
      <c r="J11" t="str">
        <f t="shared" si="4"/>
        <v>No</v>
      </c>
      <c r="K11" t="str">
        <f t="shared" si="0"/>
        <v>No</v>
      </c>
      <c r="L11">
        <f t="shared" ca="1" si="5"/>
        <v>3</v>
      </c>
    </row>
    <row r="12" spans="1:16" x14ac:dyDescent="0.3">
      <c r="A12">
        <v>1011</v>
      </c>
      <c r="B12" t="s">
        <v>26</v>
      </c>
      <c r="C12">
        <v>73</v>
      </c>
      <c r="D12">
        <v>79</v>
      </c>
      <c r="E12">
        <v>53</v>
      </c>
      <c r="F12" t="s">
        <v>27</v>
      </c>
      <c r="G12">
        <f t="shared" si="1"/>
        <v>205</v>
      </c>
      <c r="H12">
        <f t="shared" si="2"/>
        <v>68.333333333333329</v>
      </c>
      <c r="I12" t="str">
        <f t="shared" si="3"/>
        <v>B</v>
      </c>
      <c r="J12" t="str">
        <f t="shared" si="4"/>
        <v>No</v>
      </c>
      <c r="K12" t="str">
        <f t="shared" si="0"/>
        <v>No</v>
      </c>
      <c r="L12">
        <f t="shared" ca="1" si="5"/>
        <v>3</v>
      </c>
    </row>
    <row r="13" spans="1:16" x14ac:dyDescent="0.3">
      <c r="A13">
        <v>1012</v>
      </c>
      <c r="B13" t="s">
        <v>28</v>
      </c>
      <c r="C13">
        <v>85</v>
      </c>
      <c r="D13">
        <v>89</v>
      </c>
      <c r="E13">
        <v>79</v>
      </c>
      <c r="F13" t="s">
        <v>29</v>
      </c>
      <c r="G13">
        <f t="shared" si="1"/>
        <v>253</v>
      </c>
      <c r="H13">
        <f t="shared" si="2"/>
        <v>84.333333333333329</v>
      </c>
      <c r="I13" t="str">
        <f t="shared" si="3"/>
        <v>A</v>
      </c>
      <c r="J13" t="str">
        <f t="shared" si="4"/>
        <v>Topper</v>
      </c>
      <c r="K13" t="str">
        <f t="shared" si="0"/>
        <v>Yes</v>
      </c>
      <c r="L13">
        <f t="shared" ca="1" si="5"/>
        <v>2</v>
      </c>
    </row>
    <row r="14" spans="1:16" x14ac:dyDescent="0.3">
      <c r="A14">
        <v>1013</v>
      </c>
      <c r="B14" t="s">
        <v>30</v>
      </c>
      <c r="C14">
        <v>98</v>
      </c>
      <c r="D14">
        <v>90</v>
      </c>
      <c r="E14">
        <v>97</v>
      </c>
      <c r="F14" t="s">
        <v>31</v>
      </c>
      <c r="G14">
        <f t="shared" si="1"/>
        <v>285</v>
      </c>
      <c r="H14">
        <f t="shared" si="2"/>
        <v>95</v>
      </c>
      <c r="I14" t="str">
        <f t="shared" si="3"/>
        <v>A</v>
      </c>
      <c r="J14" t="str">
        <f t="shared" si="4"/>
        <v>Topper</v>
      </c>
      <c r="K14" t="str">
        <f t="shared" si="0"/>
        <v>Yes</v>
      </c>
      <c r="L14">
        <f t="shared" ca="1" si="5"/>
        <v>2</v>
      </c>
    </row>
    <row r="15" spans="1:16" x14ac:dyDescent="0.3">
      <c r="A15">
        <v>1014</v>
      </c>
      <c r="B15" t="s">
        <v>32</v>
      </c>
      <c r="C15">
        <v>93</v>
      </c>
      <c r="D15">
        <v>40</v>
      </c>
      <c r="E15">
        <v>44</v>
      </c>
      <c r="F15" t="s">
        <v>33</v>
      </c>
      <c r="G15">
        <f t="shared" si="1"/>
        <v>177</v>
      </c>
      <c r="H15">
        <f t="shared" si="2"/>
        <v>59</v>
      </c>
      <c r="I15" t="str">
        <f t="shared" si="3"/>
        <v>C</v>
      </c>
      <c r="J15" t="str">
        <f t="shared" si="4"/>
        <v>No</v>
      </c>
      <c r="K15" t="str">
        <f t="shared" si="0"/>
        <v>No</v>
      </c>
      <c r="L15">
        <f t="shared" ca="1" si="5"/>
        <v>1</v>
      </c>
    </row>
    <row r="16" spans="1:16" x14ac:dyDescent="0.3">
      <c r="A16">
        <v>1015</v>
      </c>
      <c r="B16" t="s">
        <v>34</v>
      </c>
      <c r="C16">
        <v>70</v>
      </c>
      <c r="D16">
        <v>51</v>
      </c>
      <c r="E16">
        <v>75</v>
      </c>
      <c r="F16" t="s">
        <v>35</v>
      </c>
      <c r="G16">
        <f t="shared" si="1"/>
        <v>196</v>
      </c>
      <c r="H16">
        <f t="shared" si="2"/>
        <v>65.333333333333329</v>
      </c>
      <c r="I16" t="str">
        <f t="shared" si="3"/>
        <v>B</v>
      </c>
      <c r="J16" t="str">
        <f t="shared" si="4"/>
        <v>No</v>
      </c>
      <c r="K16" t="str">
        <f t="shared" si="0"/>
        <v>No</v>
      </c>
      <c r="L16">
        <f t="shared" ca="1" si="5"/>
        <v>1</v>
      </c>
    </row>
    <row r="17" spans="1:12" x14ac:dyDescent="0.3">
      <c r="A17">
        <v>1016</v>
      </c>
      <c r="B17" t="s">
        <v>36</v>
      </c>
      <c r="C17">
        <v>98</v>
      </c>
      <c r="D17">
        <v>77</v>
      </c>
      <c r="E17">
        <v>60</v>
      </c>
      <c r="F17" t="s">
        <v>37</v>
      </c>
      <c r="G17">
        <f t="shared" si="1"/>
        <v>235</v>
      </c>
      <c r="H17">
        <f t="shared" si="2"/>
        <v>78.333333333333329</v>
      </c>
      <c r="I17" t="str">
        <f t="shared" si="3"/>
        <v>B</v>
      </c>
      <c r="J17" t="str">
        <f t="shared" si="4"/>
        <v>No</v>
      </c>
      <c r="K17" t="str">
        <f t="shared" si="0"/>
        <v>No</v>
      </c>
      <c r="L17">
        <f t="shared" ca="1" si="5"/>
        <v>0</v>
      </c>
    </row>
    <row r="18" spans="1:12" x14ac:dyDescent="0.3">
      <c r="A18">
        <v>1017</v>
      </c>
      <c r="B18" t="s">
        <v>38</v>
      </c>
      <c r="C18">
        <v>66</v>
      </c>
      <c r="D18">
        <v>59</v>
      </c>
      <c r="E18">
        <v>40</v>
      </c>
      <c r="F18" t="s">
        <v>39</v>
      </c>
      <c r="G18">
        <f t="shared" si="1"/>
        <v>165</v>
      </c>
      <c r="H18">
        <f t="shared" si="2"/>
        <v>55</v>
      </c>
      <c r="I18" t="str">
        <f t="shared" si="3"/>
        <v>C</v>
      </c>
      <c r="J18" t="str">
        <f t="shared" si="4"/>
        <v>No</v>
      </c>
      <c r="K18" t="str">
        <f t="shared" si="0"/>
        <v>No</v>
      </c>
      <c r="L18">
        <f t="shared" ca="1" si="5"/>
        <v>0</v>
      </c>
    </row>
    <row r="19" spans="1:12" x14ac:dyDescent="0.3">
      <c r="A19">
        <v>1018</v>
      </c>
      <c r="B19" t="s">
        <v>40</v>
      </c>
      <c r="C19">
        <v>82</v>
      </c>
      <c r="D19">
        <v>48</v>
      </c>
      <c r="E19">
        <v>79</v>
      </c>
      <c r="F19" t="s">
        <v>41</v>
      </c>
      <c r="G19">
        <f t="shared" si="1"/>
        <v>209</v>
      </c>
      <c r="H19">
        <f t="shared" si="2"/>
        <v>69.666666666666671</v>
      </c>
      <c r="I19" t="str">
        <f t="shared" si="3"/>
        <v>B</v>
      </c>
      <c r="J19" t="str">
        <f t="shared" si="4"/>
        <v>No</v>
      </c>
      <c r="K19" t="str">
        <f t="shared" si="0"/>
        <v>No</v>
      </c>
      <c r="L19" t="e">
        <f t="shared" ca="1" si="5"/>
        <v>#NUM!</v>
      </c>
    </row>
    <row r="20" spans="1:12" x14ac:dyDescent="0.3">
      <c r="A20">
        <v>1019</v>
      </c>
      <c r="B20" t="s">
        <v>42</v>
      </c>
      <c r="C20">
        <v>90</v>
      </c>
      <c r="D20">
        <v>78</v>
      </c>
      <c r="E20">
        <v>60</v>
      </c>
      <c r="F20" t="s">
        <v>43</v>
      </c>
      <c r="G20">
        <f t="shared" si="1"/>
        <v>228</v>
      </c>
      <c r="H20">
        <f t="shared" si="2"/>
        <v>76</v>
      </c>
      <c r="I20" t="str">
        <f t="shared" si="3"/>
        <v>B</v>
      </c>
      <c r="J20" t="str">
        <f t="shared" si="4"/>
        <v>No</v>
      </c>
      <c r="K20" t="str">
        <f t="shared" si="0"/>
        <v>No</v>
      </c>
      <c r="L20" t="e">
        <f t="shared" ca="1" si="5"/>
        <v>#NUM!</v>
      </c>
    </row>
    <row r="21" spans="1:12" x14ac:dyDescent="0.3">
      <c r="A21">
        <v>1020</v>
      </c>
      <c r="B21" t="s">
        <v>44</v>
      </c>
      <c r="C21">
        <v>83</v>
      </c>
      <c r="D21">
        <v>92</v>
      </c>
      <c r="E21">
        <v>55</v>
      </c>
      <c r="F21" t="s">
        <v>45</v>
      </c>
      <c r="G21">
        <f t="shared" si="1"/>
        <v>230</v>
      </c>
      <c r="H21">
        <f t="shared" si="2"/>
        <v>76.666666666666671</v>
      </c>
      <c r="I21" t="str">
        <f t="shared" si="3"/>
        <v>B</v>
      </c>
      <c r="J21" t="str">
        <f t="shared" si="4"/>
        <v>Topper</v>
      </c>
      <c r="K21" t="str">
        <f t="shared" si="0"/>
        <v>No</v>
      </c>
      <c r="L21" t="e">
        <f t="shared" ca="1" si="5"/>
        <v>#NUM!</v>
      </c>
    </row>
    <row r="24" spans="1:12" x14ac:dyDescent="0.3">
      <c r="B24" s="9" t="s">
        <v>182</v>
      </c>
      <c r="C24" s="10"/>
      <c r="D24" s="10"/>
      <c r="E24" s="10"/>
      <c r="F24" s="10"/>
      <c r="G24" s="10"/>
      <c r="H24" s="10"/>
      <c r="I24" s="10"/>
      <c r="J24" s="10"/>
    </row>
    <row r="25" spans="1:12" x14ac:dyDescent="0.3">
      <c r="B25" cm="1">
        <f t="array" ref="B25:J27">_xlfn._xlws.FILTER(Table1[[Student ID]:[Grade]],Table1[Topper]="Topper")</f>
        <v>1012</v>
      </c>
      <c r="C25" t="str">
        <v>Student 12</v>
      </c>
      <c r="D25">
        <v>85</v>
      </c>
      <c r="E25">
        <v>89</v>
      </c>
      <c r="F25">
        <v>79</v>
      </c>
      <c r="G25" t="str">
        <v>2023-06-04</v>
      </c>
      <c r="H25">
        <v>253</v>
      </c>
      <c r="I25">
        <v>84.333333333333329</v>
      </c>
      <c r="J25" t="str">
        <v>A</v>
      </c>
    </row>
    <row r="26" spans="1:12" x14ac:dyDescent="0.3">
      <c r="B26">
        <v>1013</v>
      </c>
      <c r="C26" t="str">
        <v>Student 13</v>
      </c>
      <c r="D26">
        <v>98</v>
      </c>
      <c r="E26">
        <v>90</v>
      </c>
      <c r="F26">
        <v>97</v>
      </c>
      <c r="G26" t="str">
        <v>2023-12-01</v>
      </c>
      <c r="H26">
        <v>285</v>
      </c>
      <c r="I26">
        <v>95</v>
      </c>
      <c r="J26" t="str">
        <v>A</v>
      </c>
    </row>
    <row r="27" spans="1:12" x14ac:dyDescent="0.3">
      <c r="B27">
        <v>1020</v>
      </c>
      <c r="C27" t="str">
        <v>Student 20</v>
      </c>
      <c r="D27">
        <v>83</v>
      </c>
      <c r="E27">
        <v>92</v>
      </c>
      <c r="F27">
        <v>55</v>
      </c>
      <c r="G27" t="str">
        <v>2027-05-14</v>
      </c>
      <c r="H27">
        <v>230</v>
      </c>
      <c r="I27">
        <v>76.666666666666671</v>
      </c>
      <c r="J27" t="str">
        <v>B</v>
      </c>
    </row>
  </sheetData>
  <mergeCells count="1">
    <mergeCell ref="B24:J24"/>
  </mergeCells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workbookViewId="0">
      <selection activeCell="E28" sqref="E28"/>
    </sheetView>
  </sheetViews>
  <sheetFormatPr defaultRowHeight="14.4" x14ac:dyDescent="0.3"/>
  <cols>
    <col min="1" max="1" width="9.6640625" bestFit="1" customWidth="1"/>
    <col min="2" max="2" width="9.88671875" bestFit="1" customWidth="1"/>
    <col min="3" max="3" width="9" bestFit="1" customWidth="1"/>
    <col min="4" max="4" width="13.21875" bestFit="1" customWidth="1"/>
    <col min="5" max="5" width="10.109375" bestFit="1" customWidth="1"/>
    <col min="6" max="6" width="10.33203125" bestFit="1" customWidth="1"/>
    <col min="7" max="7" width="9" bestFit="1" customWidth="1"/>
    <col min="8" max="8" width="6.88671875" bestFit="1" customWidth="1"/>
    <col min="9" max="9" width="15.5546875" bestFit="1" customWidth="1"/>
    <col min="10" max="10" width="19.88671875" bestFit="1" customWidth="1"/>
    <col min="12" max="12" width="18" bestFit="1" customWidth="1"/>
    <col min="13" max="13" width="24.33203125" bestFit="1" customWidth="1"/>
    <col min="14" max="14" width="13.21875" bestFit="1" customWidth="1"/>
    <col min="15" max="15" width="12.109375" bestFit="1" customWidth="1"/>
    <col min="16" max="16" width="8" bestFit="1" customWidth="1"/>
    <col min="17" max="17" width="24.33203125" bestFit="1" customWidth="1"/>
    <col min="18" max="18" width="6" bestFit="1" customWidth="1"/>
  </cols>
  <sheetData>
    <row r="1" spans="1:13" x14ac:dyDescent="0.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s="3" t="s">
        <v>156</v>
      </c>
      <c r="H1" s="3" t="s">
        <v>157</v>
      </c>
      <c r="I1" s="3" t="s">
        <v>158</v>
      </c>
      <c r="J1" s="3" t="s">
        <v>162</v>
      </c>
      <c r="L1" s="1" t="s">
        <v>48</v>
      </c>
      <c r="M1" s="1" t="s">
        <v>163</v>
      </c>
    </row>
    <row r="2" spans="1:13" x14ac:dyDescent="0.3">
      <c r="A2">
        <v>2001</v>
      </c>
      <c r="B2" t="s">
        <v>52</v>
      </c>
      <c r="C2" t="s">
        <v>53</v>
      </c>
      <c r="D2" t="s">
        <v>54</v>
      </c>
      <c r="E2">
        <v>7048</v>
      </c>
      <c r="F2" s="5" t="s">
        <v>55</v>
      </c>
      <c r="G2" t="str">
        <f>TEXT(F2,"mmm")</f>
        <v>Jan</v>
      </c>
      <c r="H2">
        <f>YEAR(F2)</f>
        <v>2023</v>
      </c>
      <c r="I2" t="str">
        <f>IF(E2&gt;=30000,"High",IF(E2&gt;=15000,"Medium","Low"))</f>
        <v>Low</v>
      </c>
      <c r="J2" t="str">
        <f>IF(E2&gt;30000,"Yes","No")</f>
        <v>No</v>
      </c>
      <c r="L2" s="6" t="s">
        <v>53</v>
      </c>
      <c r="M2">
        <f>SUMIF(C:C,"South",E:E)</f>
        <v>73188</v>
      </c>
    </row>
    <row r="3" spans="1:13" x14ac:dyDescent="0.3">
      <c r="A3">
        <v>2002</v>
      </c>
      <c r="B3" t="s">
        <v>56</v>
      </c>
      <c r="C3" t="s">
        <v>57</v>
      </c>
      <c r="D3" t="s">
        <v>58</v>
      </c>
      <c r="E3">
        <v>17428</v>
      </c>
      <c r="F3" s="5" t="s">
        <v>59</v>
      </c>
      <c r="G3" t="str">
        <f t="shared" ref="G3:G21" si="0">TEXT(F3,"mmm")</f>
        <v>Jan</v>
      </c>
      <c r="H3">
        <f t="shared" ref="H3:H21" si="1">YEAR(F3)</f>
        <v>2023</v>
      </c>
      <c r="I3" t="str">
        <f t="shared" ref="I3:I21" si="2">IF(E3&gt;=30000,"High",IF(E3&gt;=15000,"Medium","Low"))</f>
        <v>Medium</v>
      </c>
      <c r="J3" t="str">
        <f t="shared" ref="J3:J21" si="3">IF(E3&gt;30000,"Yes","No")</f>
        <v>No</v>
      </c>
      <c r="L3" s="6" t="s">
        <v>57</v>
      </c>
      <c r="M3">
        <f>SUMIF(C:C,"West",E:E)</f>
        <v>119978</v>
      </c>
    </row>
    <row r="4" spans="1:13" x14ac:dyDescent="0.3">
      <c r="A4">
        <v>2003</v>
      </c>
      <c r="B4" t="s">
        <v>60</v>
      </c>
      <c r="C4" t="s">
        <v>53</v>
      </c>
      <c r="D4" t="s">
        <v>61</v>
      </c>
      <c r="E4">
        <v>23672</v>
      </c>
      <c r="F4" s="5" t="s">
        <v>62</v>
      </c>
      <c r="G4" t="str">
        <f t="shared" si="0"/>
        <v>Jan</v>
      </c>
      <c r="H4">
        <f t="shared" si="1"/>
        <v>2023</v>
      </c>
      <c r="I4" t="str">
        <f t="shared" si="2"/>
        <v>Medium</v>
      </c>
      <c r="J4" t="str">
        <f t="shared" si="3"/>
        <v>No</v>
      </c>
      <c r="L4" s="6" t="s">
        <v>63</v>
      </c>
      <c r="M4">
        <f>SUMIF(C:C,"East",E:E)</f>
        <v>173932</v>
      </c>
    </row>
    <row r="5" spans="1:13" x14ac:dyDescent="0.3">
      <c r="A5">
        <v>2004</v>
      </c>
      <c r="B5" t="s">
        <v>56</v>
      </c>
      <c r="C5" t="s">
        <v>63</v>
      </c>
      <c r="D5" t="s">
        <v>64</v>
      </c>
      <c r="E5">
        <v>5264</v>
      </c>
      <c r="F5" s="5" t="s">
        <v>65</v>
      </c>
      <c r="G5" t="str">
        <f t="shared" si="0"/>
        <v>Feb</v>
      </c>
      <c r="H5">
        <f t="shared" si="1"/>
        <v>2023</v>
      </c>
      <c r="I5" t="str">
        <f t="shared" si="2"/>
        <v>Low</v>
      </c>
      <c r="J5" t="str">
        <f t="shared" si="3"/>
        <v>No</v>
      </c>
      <c r="L5" s="6" t="s">
        <v>66</v>
      </c>
      <c r="M5">
        <f>SUMIF(C:C,"North",E:E)</f>
        <v>140627</v>
      </c>
    </row>
    <row r="6" spans="1:13" x14ac:dyDescent="0.3">
      <c r="A6">
        <v>2005</v>
      </c>
      <c r="B6" t="s">
        <v>52</v>
      </c>
      <c r="C6" t="s">
        <v>66</v>
      </c>
      <c r="D6" t="s">
        <v>67</v>
      </c>
      <c r="E6">
        <v>43388</v>
      </c>
      <c r="F6" s="5" t="s">
        <v>68</v>
      </c>
      <c r="G6" t="str">
        <f t="shared" si="0"/>
        <v>Mar</v>
      </c>
      <c r="H6">
        <f t="shared" si="1"/>
        <v>2023</v>
      </c>
      <c r="I6" t="str">
        <f t="shared" si="2"/>
        <v>High</v>
      </c>
      <c r="J6" t="str">
        <f t="shared" si="3"/>
        <v>Yes</v>
      </c>
      <c r="M6" s="2">
        <f>SUM(M2:M5)</f>
        <v>507725</v>
      </c>
    </row>
    <row r="7" spans="1:13" x14ac:dyDescent="0.3">
      <c r="A7">
        <v>2006</v>
      </c>
      <c r="B7" t="s">
        <v>60</v>
      </c>
      <c r="C7" t="s">
        <v>66</v>
      </c>
      <c r="D7" t="s">
        <v>69</v>
      </c>
      <c r="E7">
        <v>19757</v>
      </c>
      <c r="F7" s="5" t="s">
        <v>70</v>
      </c>
      <c r="G7" t="str">
        <f t="shared" si="0"/>
        <v>Mar</v>
      </c>
      <c r="H7">
        <f t="shared" si="1"/>
        <v>2023</v>
      </c>
      <c r="I7" t="str">
        <f t="shared" si="2"/>
        <v>Medium</v>
      </c>
      <c r="J7" t="str">
        <f t="shared" si="3"/>
        <v>No</v>
      </c>
    </row>
    <row r="8" spans="1:13" x14ac:dyDescent="0.3">
      <c r="A8">
        <v>2007</v>
      </c>
      <c r="B8" t="s">
        <v>60</v>
      </c>
      <c r="C8" t="s">
        <v>63</v>
      </c>
      <c r="D8" t="s">
        <v>71</v>
      </c>
      <c r="E8">
        <v>32058</v>
      </c>
      <c r="F8" s="5" t="s">
        <v>72</v>
      </c>
      <c r="G8" t="str">
        <f t="shared" si="0"/>
        <v>Apr</v>
      </c>
      <c r="H8">
        <f t="shared" si="1"/>
        <v>2023</v>
      </c>
      <c r="I8" t="str">
        <f t="shared" si="2"/>
        <v>High</v>
      </c>
      <c r="J8" t="str">
        <f t="shared" si="3"/>
        <v>Yes</v>
      </c>
      <c r="L8" s="1" t="s">
        <v>47</v>
      </c>
      <c r="M8" s="1" t="s">
        <v>163</v>
      </c>
    </row>
    <row r="9" spans="1:13" x14ac:dyDescent="0.3">
      <c r="A9">
        <v>2008</v>
      </c>
      <c r="B9" t="s">
        <v>52</v>
      </c>
      <c r="C9" t="s">
        <v>63</v>
      </c>
      <c r="D9" t="s">
        <v>73</v>
      </c>
      <c r="E9">
        <v>46429</v>
      </c>
      <c r="F9" s="5" t="s">
        <v>74</v>
      </c>
      <c r="G9" t="str">
        <f t="shared" si="0"/>
        <v>Apr</v>
      </c>
      <c r="H9">
        <f t="shared" si="1"/>
        <v>2023</v>
      </c>
      <c r="I9" t="str">
        <f t="shared" si="2"/>
        <v>High</v>
      </c>
      <c r="J9" t="str">
        <f t="shared" si="3"/>
        <v>Yes</v>
      </c>
      <c r="L9" s="6" t="s">
        <v>52</v>
      </c>
      <c r="M9">
        <f>SUMIF(B2:B21,"Keyboard",E2:E21)</f>
        <v>165970</v>
      </c>
    </row>
    <row r="10" spans="1:13" x14ac:dyDescent="0.3">
      <c r="A10">
        <v>2009</v>
      </c>
      <c r="B10" t="s">
        <v>56</v>
      </c>
      <c r="C10" t="s">
        <v>63</v>
      </c>
      <c r="D10" t="s">
        <v>75</v>
      </c>
      <c r="E10">
        <v>19746</v>
      </c>
      <c r="F10" s="5" t="s">
        <v>76</v>
      </c>
      <c r="G10" t="str">
        <f t="shared" si="0"/>
        <v>May</v>
      </c>
      <c r="H10">
        <f t="shared" si="1"/>
        <v>2023</v>
      </c>
      <c r="I10" t="str">
        <f t="shared" si="2"/>
        <v>Medium</v>
      </c>
      <c r="J10" t="str">
        <f t="shared" si="3"/>
        <v>No</v>
      </c>
      <c r="L10" s="6" t="s">
        <v>60</v>
      </c>
      <c r="M10">
        <f>SUMIF(B2:B21,"Mouse",E2:E21)</f>
        <v>111200</v>
      </c>
    </row>
    <row r="11" spans="1:13" x14ac:dyDescent="0.3">
      <c r="A11">
        <v>2010</v>
      </c>
      <c r="B11" t="s">
        <v>52</v>
      </c>
      <c r="C11" t="s">
        <v>53</v>
      </c>
      <c r="D11" t="s">
        <v>77</v>
      </c>
      <c r="E11">
        <v>35185</v>
      </c>
      <c r="F11" s="5" t="s">
        <v>78</v>
      </c>
      <c r="G11" t="str">
        <f t="shared" si="0"/>
        <v>May</v>
      </c>
      <c r="H11">
        <f t="shared" si="1"/>
        <v>2023</v>
      </c>
      <c r="I11" t="str">
        <f t="shared" si="2"/>
        <v>High</v>
      </c>
      <c r="J11" t="str">
        <f t="shared" si="3"/>
        <v>Yes</v>
      </c>
      <c r="L11" s="6" t="s">
        <v>56</v>
      </c>
      <c r="M11">
        <f>SUMIF(B2:B21,"Printer",E2:E21)</f>
        <v>76391</v>
      </c>
    </row>
    <row r="12" spans="1:13" x14ac:dyDescent="0.3">
      <c r="A12">
        <v>2011</v>
      </c>
      <c r="B12" t="s">
        <v>52</v>
      </c>
      <c r="C12" t="s">
        <v>63</v>
      </c>
      <c r="D12" t="s">
        <v>79</v>
      </c>
      <c r="E12">
        <v>33920</v>
      </c>
      <c r="F12" s="5" t="s">
        <v>80</v>
      </c>
      <c r="G12" t="str">
        <f t="shared" si="0"/>
        <v>May</v>
      </c>
      <c r="H12">
        <f t="shared" si="1"/>
        <v>2023</v>
      </c>
      <c r="I12" t="str">
        <f t="shared" si="2"/>
        <v>High</v>
      </c>
      <c r="J12" t="str">
        <f t="shared" si="3"/>
        <v>Yes</v>
      </c>
      <c r="L12" s="6" t="s">
        <v>81</v>
      </c>
      <c r="M12">
        <f>SUMIF(B2:B21,"Monitor",E2:E21)</f>
        <v>115643</v>
      </c>
    </row>
    <row r="13" spans="1:13" x14ac:dyDescent="0.3">
      <c r="A13">
        <v>2012</v>
      </c>
      <c r="B13" t="s">
        <v>81</v>
      </c>
      <c r="C13" t="s">
        <v>66</v>
      </c>
      <c r="D13" t="s">
        <v>82</v>
      </c>
      <c r="E13">
        <v>35611</v>
      </c>
      <c r="F13" s="5" t="s">
        <v>83</v>
      </c>
      <c r="G13" t="str">
        <f t="shared" si="0"/>
        <v>Jun</v>
      </c>
      <c r="H13">
        <f t="shared" si="1"/>
        <v>2023</v>
      </c>
      <c r="I13" t="str">
        <f t="shared" si="2"/>
        <v>High</v>
      </c>
      <c r="J13" t="str">
        <f t="shared" si="3"/>
        <v>Yes</v>
      </c>
      <c r="L13" s="6" t="s">
        <v>84</v>
      </c>
      <c r="M13">
        <f>SUMIF(B2:B21,"Laptop",E2:E21)</f>
        <v>38521</v>
      </c>
    </row>
    <row r="14" spans="1:13" x14ac:dyDescent="0.3">
      <c r="A14">
        <v>2013</v>
      </c>
      <c r="B14" t="s">
        <v>84</v>
      </c>
      <c r="C14" t="s">
        <v>63</v>
      </c>
      <c r="D14" t="s">
        <v>85</v>
      </c>
      <c r="E14">
        <v>15560</v>
      </c>
      <c r="F14" s="5" t="s">
        <v>86</v>
      </c>
      <c r="G14" t="str">
        <f t="shared" si="0"/>
        <v>Jun</v>
      </c>
      <c r="H14">
        <f t="shared" si="1"/>
        <v>2023</v>
      </c>
      <c r="I14" t="str">
        <f t="shared" si="2"/>
        <v>Medium</v>
      </c>
      <c r="J14" t="str">
        <f t="shared" si="3"/>
        <v>No</v>
      </c>
      <c r="M14" s="2">
        <f>SUM(M9:M13)</f>
        <v>507725</v>
      </c>
    </row>
    <row r="15" spans="1:13" x14ac:dyDescent="0.3">
      <c r="A15">
        <v>2014</v>
      </c>
      <c r="B15" t="s">
        <v>84</v>
      </c>
      <c r="C15" t="s">
        <v>53</v>
      </c>
      <c r="D15" t="s">
        <v>87</v>
      </c>
      <c r="E15">
        <v>7283</v>
      </c>
      <c r="F15" s="5" t="s">
        <v>88</v>
      </c>
      <c r="G15" t="str">
        <f t="shared" si="0"/>
        <v>Jul</v>
      </c>
      <c r="H15">
        <f t="shared" si="1"/>
        <v>2023</v>
      </c>
      <c r="I15" t="str">
        <f t="shared" si="2"/>
        <v>Low</v>
      </c>
      <c r="J15" t="str">
        <f t="shared" si="3"/>
        <v>No</v>
      </c>
    </row>
    <row r="16" spans="1:13" x14ac:dyDescent="0.3">
      <c r="A16">
        <v>2015</v>
      </c>
      <c r="B16" t="s">
        <v>84</v>
      </c>
      <c r="C16" t="s">
        <v>63</v>
      </c>
      <c r="D16" t="s">
        <v>89</v>
      </c>
      <c r="E16">
        <v>15678</v>
      </c>
      <c r="F16" s="5" t="s">
        <v>90</v>
      </c>
      <c r="G16" t="str">
        <f t="shared" si="0"/>
        <v>Jul</v>
      </c>
      <c r="H16">
        <f t="shared" si="1"/>
        <v>2023</v>
      </c>
      <c r="I16" t="str">
        <f t="shared" si="2"/>
        <v>Medium</v>
      </c>
      <c r="J16" t="str">
        <f t="shared" si="3"/>
        <v>No</v>
      </c>
      <c r="L16" s="1" t="s">
        <v>164</v>
      </c>
      <c r="M16" s="1" t="s">
        <v>165</v>
      </c>
    </row>
    <row r="17" spans="1:14" x14ac:dyDescent="0.3">
      <c r="A17">
        <v>2016</v>
      </c>
      <c r="B17" t="s">
        <v>60</v>
      </c>
      <c r="C17" t="s">
        <v>63</v>
      </c>
      <c r="D17" t="s">
        <v>91</v>
      </c>
      <c r="E17">
        <v>5277</v>
      </c>
      <c r="F17" s="5" t="s">
        <v>92</v>
      </c>
      <c r="G17" t="str">
        <f t="shared" si="0"/>
        <v>Aug</v>
      </c>
      <c r="H17">
        <f t="shared" si="1"/>
        <v>2023</v>
      </c>
      <c r="I17" t="str">
        <f t="shared" si="2"/>
        <v>Low</v>
      </c>
      <c r="J17" t="str">
        <f t="shared" si="3"/>
        <v>No</v>
      </c>
      <c r="L17">
        <v>2002</v>
      </c>
      <c r="M17">
        <f>VLOOKUP(L17,Table2[[Sales ID]:[Amount]],5,FALSE)</f>
        <v>17428</v>
      </c>
    </row>
    <row r="18" spans="1:14" x14ac:dyDescent="0.3">
      <c r="A18">
        <v>2017</v>
      </c>
      <c r="B18" t="s">
        <v>81</v>
      </c>
      <c r="C18" t="s">
        <v>66</v>
      </c>
      <c r="D18" t="s">
        <v>93</v>
      </c>
      <c r="E18">
        <v>41871</v>
      </c>
      <c r="F18" s="5" t="s">
        <v>94</v>
      </c>
      <c r="G18" t="str">
        <f t="shared" si="0"/>
        <v>Aug</v>
      </c>
      <c r="H18">
        <f t="shared" si="1"/>
        <v>2023</v>
      </c>
      <c r="I18" t="str">
        <f t="shared" si="2"/>
        <v>High</v>
      </c>
      <c r="J18" t="str">
        <f t="shared" si="3"/>
        <v>Yes</v>
      </c>
    </row>
    <row r="19" spans="1:14" x14ac:dyDescent="0.3">
      <c r="A19">
        <v>2018</v>
      </c>
      <c r="B19" t="s">
        <v>81</v>
      </c>
      <c r="C19" t="s">
        <v>57</v>
      </c>
      <c r="D19" t="s">
        <v>95</v>
      </c>
      <c r="E19">
        <v>38161</v>
      </c>
      <c r="F19" s="5" t="s">
        <v>96</v>
      </c>
      <c r="G19" t="str">
        <f t="shared" si="0"/>
        <v>Sep</v>
      </c>
      <c r="H19">
        <f t="shared" si="1"/>
        <v>2023</v>
      </c>
      <c r="I19" t="str">
        <f t="shared" si="2"/>
        <v>High</v>
      </c>
      <c r="J19" t="str">
        <f t="shared" si="3"/>
        <v>Yes</v>
      </c>
      <c r="L19" s="1" t="s">
        <v>167</v>
      </c>
      <c r="M19" s="1" t="s">
        <v>168</v>
      </c>
      <c r="N19" s="1" t="s">
        <v>169</v>
      </c>
    </row>
    <row r="20" spans="1:14" x14ac:dyDescent="0.3">
      <c r="A20">
        <v>2019</v>
      </c>
      <c r="B20" t="s">
        <v>60</v>
      </c>
      <c r="C20" t="s">
        <v>57</v>
      </c>
      <c r="D20" t="s">
        <v>97</v>
      </c>
      <c r="E20">
        <v>30436</v>
      </c>
      <c r="F20" s="5" t="s">
        <v>98</v>
      </c>
      <c r="G20" t="str">
        <f t="shared" si="0"/>
        <v>Sep</v>
      </c>
      <c r="H20">
        <f t="shared" si="1"/>
        <v>2023</v>
      </c>
      <c r="I20" t="str">
        <f t="shared" si="2"/>
        <v>High</v>
      </c>
      <c r="J20" t="str">
        <f t="shared" si="3"/>
        <v>Yes</v>
      </c>
      <c r="L20" t="s">
        <v>54</v>
      </c>
      <c r="M20" t="s">
        <v>166</v>
      </c>
      <c r="N20" cm="1">
        <f t="array" ref="N20">INDEX(E2:E21,
MATCH(1,
(D2:D21=L20)*(G2:G21=M20),
0))</f>
        <v>7048</v>
      </c>
    </row>
    <row r="21" spans="1:14" x14ac:dyDescent="0.3">
      <c r="A21">
        <v>2020</v>
      </c>
      <c r="B21" t="s">
        <v>56</v>
      </c>
      <c r="C21" t="s">
        <v>57</v>
      </c>
      <c r="D21" t="s">
        <v>99</v>
      </c>
      <c r="E21">
        <v>33953</v>
      </c>
      <c r="F21" s="5" t="s">
        <v>100</v>
      </c>
      <c r="G21" t="str">
        <f t="shared" si="0"/>
        <v>Oct</v>
      </c>
      <c r="H21">
        <f t="shared" si="1"/>
        <v>2023</v>
      </c>
      <c r="I21" t="str">
        <f t="shared" si="2"/>
        <v>High</v>
      </c>
      <c r="J21" t="str">
        <f t="shared" si="3"/>
        <v>Yes</v>
      </c>
    </row>
    <row r="22" spans="1:14" x14ac:dyDescent="0.3">
      <c r="L22" s="1" t="s">
        <v>159</v>
      </c>
    </row>
    <row r="23" spans="1:14" x14ac:dyDescent="0.3">
      <c r="L23">
        <v>2005</v>
      </c>
      <c r="M23" t="str">
        <f>_xlfn.XLOOKUP(L23,A:A,B:B)</f>
        <v>Keyboard</v>
      </c>
      <c r="N23">
        <f>_xlfn.XLOOKUP(L23,A:A,E:E)</f>
        <v>43388</v>
      </c>
    </row>
    <row r="24" spans="1:14" x14ac:dyDescent="0.3">
      <c r="M24" s="6" t="s">
        <v>170</v>
      </c>
      <c r="N24">
        <f>_xlfn.XMATCH(L23,A:A)</f>
        <v>6</v>
      </c>
    </row>
    <row r="25" spans="1:14" x14ac:dyDescent="0.3">
      <c r="L25" s="1"/>
      <c r="M25" s="6" t="s">
        <v>171</v>
      </c>
      <c r="N25" t="str">
        <f>_xlfn.XLOOKUP(L23,Table2[Sales ID],Table2[Salesperson])</f>
        <v>Person 5</v>
      </c>
    </row>
    <row r="27" spans="1:14" x14ac:dyDescent="0.3">
      <c r="L27" s="1" t="s">
        <v>183</v>
      </c>
      <c r="M27" t="s">
        <v>186</v>
      </c>
    </row>
    <row r="28" spans="1:14" x14ac:dyDescent="0.3">
      <c r="L28" s="1" t="s">
        <v>184</v>
      </c>
      <c r="M28" t="s">
        <v>187</v>
      </c>
    </row>
    <row r="29" spans="1:14" x14ac:dyDescent="0.3">
      <c r="L29" s="6" t="s">
        <v>185</v>
      </c>
      <c r="M29">
        <f>SUMIFS(E2:E21,C2:C21,M27,B2:B21,M28)</f>
        <v>77482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activeCell="G15" sqref="G15"/>
    </sheetView>
  </sheetViews>
  <sheetFormatPr defaultRowHeight="14.4" x14ac:dyDescent="0.3"/>
  <cols>
    <col min="1" max="1" width="13.44140625" customWidth="1"/>
    <col min="2" max="2" width="11.44140625" bestFit="1" customWidth="1"/>
    <col min="3" max="3" width="13" customWidth="1"/>
    <col min="4" max="4" width="8" customWidth="1"/>
    <col min="5" max="5" width="13.109375" customWidth="1"/>
    <col min="7" max="7" width="27" bestFit="1" customWidth="1"/>
    <col min="8" max="8" width="11.33203125" bestFit="1" customWidth="1"/>
    <col min="9" max="9" width="10.44140625" bestFit="1" customWidth="1"/>
    <col min="10" max="10" width="10.77734375" bestFit="1" customWidth="1"/>
    <col min="11" max="11" width="6" bestFit="1" customWidth="1"/>
    <col min="12" max="12" width="10.88671875" bestFit="1" customWidth="1"/>
  </cols>
  <sheetData>
    <row r="1" spans="1:12" x14ac:dyDescent="0.3">
      <c r="A1" t="s">
        <v>101</v>
      </c>
      <c r="B1" t="s">
        <v>1</v>
      </c>
      <c r="C1" t="s">
        <v>102</v>
      </c>
      <c r="D1" t="s">
        <v>103</v>
      </c>
      <c r="E1" t="s">
        <v>104</v>
      </c>
      <c r="H1" s="7"/>
      <c r="I1" s="8" t="s">
        <v>1</v>
      </c>
      <c r="J1" s="8" t="s">
        <v>102</v>
      </c>
      <c r="K1" s="8" t="s">
        <v>103</v>
      </c>
      <c r="L1" s="8" t="s">
        <v>104</v>
      </c>
    </row>
    <row r="2" spans="1:12" x14ac:dyDescent="0.3">
      <c r="A2">
        <v>3001</v>
      </c>
      <c r="B2" t="s">
        <v>105</v>
      </c>
      <c r="C2" t="s">
        <v>106</v>
      </c>
      <c r="D2">
        <v>86766</v>
      </c>
      <c r="E2" t="s">
        <v>107</v>
      </c>
      <c r="G2" s="1" t="s">
        <v>172</v>
      </c>
      <c r="H2">
        <v>3002</v>
      </c>
      <c r="I2" t="str">
        <f>_xlfn.XLOOKUP(H2,$A$2:$A$21,$B$2:$B$21,"Not Found")</f>
        <v>Employee 2</v>
      </c>
      <c r="J2" t="str">
        <f>_xlfn.XLOOKUP(H2,$A$2:$A$21,$C$2:$C$21,"Not Found")</f>
        <v>Finance</v>
      </c>
      <c r="K2">
        <f>_xlfn.XLOOKUP(H2,$A$2:$A$21,$D$2:$D$21,"Not Found")</f>
        <v>31943</v>
      </c>
      <c r="L2" t="str">
        <f>_xlfn.XLOOKUP(H2,$A$2:$A$21,$E$2:$E$21,"Not Found")</f>
        <v>2015-09-08</v>
      </c>
    </row>
    <row r="3" spans="1:12" x14ac:dyDescent="0.3">
      <c r="A3">
        <v>3002</v>
      </c>
      <c r="B3" t="s">
        <v>108</v>
      </c>
      <c r="C3" t="s">
        <v>106</v>
      </c>
      <c r="D3">
        <v>31943</v>
      </c>
      <c r="E3" t="s">
        <v>109</v>
      </c>
      <c r="G3" s="1" t="s">
        <v>174</v>
      </c>
      <c r="H3" t="s">
        <v>173</v>
      </c>
    </row>
    <row r="4" spans="1:12" x14ac:dyDescent="0.3">
      <c r="A4">
        <v>3003</v>
      </c>
      <c r="B4" t="s">
        <v>110</v>
      </c>
      <c r="C4" t="s">
        <v>111</v>
      </c>
      <c r="D4">
        <v>63374</v>
      </c>
      <c r="E4" t="s">
        <v>112</v>
      </c>
      <c r="H4" cm="1">
        <f t="array" ref="H4">_xlfn.XLOOKUP(H2,$A$2:$A$21,
        _xlfn.XLOOKUP(H3,$A$1:$E$1,$A$2:$E$21),
        "Not Found")</f>
        <v>31943</v>
      </c>
    </row>
    <row r="5" spans="1:12" x14ac:dyDescent="0.3">
      <c r="A5">
        <v>3004</v>
      </c>
      <c r="B5" t="s">
        <v>113</v>
      </c>
      <c r="C5" t="s">
        <v>106</v>
      </c>
      <c r="D5">
        <v>109972</v>
      </c>
      <c r="E5" t="s">
        <v>114</v>
      </c>
    </row>
    <row r="6" spans="1:12" x14ac:dyDescent="0.3">
      <c r="A6">
        <v>3005</v>
      </c>
      <c r="B6" t="s">
        <v>115</v>
      </c>
      <c r="C6" t="s">
        <v>116</v>
      </c>
      <c r="D6">
        <v>54149</v>
      </c>
      <c r="E6" t="s">
        <v>117</v>
      </c>
    </row>
    <row r="7" spans="1:12" x14ac:dyDescent="0.3">
      <c r="A7">
        <v>3006</v>
      </c>
      <c r="B7" t="s">
        <v>118</v>
      </c>
      <c r="C7" t="s">
        <v>116</v>
      </c>
      <c r="D7">
        <v>78689</v>
      </c>
      <c r="E7" t="s">
        <v>119</v>
      </c>
      <c r="G7" s="1" t="s">
        <v>175</v>
      </c>
      <c r="H7" t="str">
        <f>LEFT(B2,FIND(" ",B2)-1)</f>
        <v>Employee</v>
      </c>
    </row>
    <row r="8" spans="1:12" x14ac:dyDescent="0.3">
      <c r="A8">
        <v>3007</v>
      </c>
      <c r="B8" t="s">
        <v>120</v>
      </c>
      <c r="C8" t="s">
        <v>121</v>
      </c>
      <c r="D8">
        <v>35960</v>
      </c>
      <c r="E8" t="s">
        <v>122</v>
      </c>
    </row>
    <row r="9" spans="1:12" x14ac:dyDescent="0.3">
      <c r="A9">
        <v>3008</v>
      </c>
      <c r="B9" t="s">
        <v>123</v>
      </c>
      <c r="C9" t="s">
        <v>116</v>
      </c>
      <c r="D9">
        <v>91659</v>
      </c>
      <c r="E9" t="s">
        <v>124</v>
      </c>
      <c r="G9" s="1" t="s">
        <v>176</v>
      </c>
      <c r="H9" t="str">
        <f>UPPER(B2)</f>
        <v>EMPLOYEE 1</v>
      </c>
    </row>
    <row r="10" spans="1:12" x14ac:dyDescent="0.3">
      <c r="A10">
        <v>3009</v>
      </c>
      <c r="B10" t="s">
        <v>125</v>
      </c>
      <c r="C10" t="s">
        <v>116</v>
      </c>
      <c r="D10">
        <v>90423</v>
      </c>
      <c r="E10" t="s">
        <v>126</v>
      </c>
      <c r="G10" s="1" t="s">
        <v>177</v>
      </c>
      <c r="H10" t="str">
        <f>LOWER(B2)</f>
        <v>employee 1</v>
      </c>
    </row>
    <row r="11" spans="1:12" x14ac:dyDescent="0.3">
      <c r="A11">
        <v>3010</v>
      </c>
      <c r="B11" t="s">
        <v>127</v>
      </c>
      <c r="C11" t="s">
        <v>111</v>
      </c>
      <c r="D11">
        <v>107877</v>
      </c>
      <c r="E11" t="s">
        <v>128</v>
      </c>
    </row>
    <row r="12" spans="1:12" x14ac:dyDescent="0.3">
      <c r="A12">
        <v>3011</v>
      </c>
      <c r="B12" t="s">
        <v>129</v>
      </c>
      <c r="C12" t="s">
        <v>106</v>
      </c>
      <c r="D12">
        <v>107634</v>
      </c>
      <c r="E12" t="s">
        <v>130</v>
      </c>
      <c r="G12" s="1" t="s">
        <v>178</v>
      </c>
      <c r="H12">
        <f>_xlfn.XLOOKUP(H2,$A$2:$A$21,$D$2:$D$21)</f>
        <v>31943</v>
      </c>
    </row>
    <row r="13" spans="1:12" x14ac:dyDescent="0.3">
      <c r="A13">
        <v>3012</v>
      </c>
      <c r="B13" t="s">
        <v>131</v>
      </c>
      <c r="C13" t="s">
        <v>106</v>
      </c>
      <c r="D13">
        <v>35226</v>
      </c>
      <c r="E13" t="s">
        <v>132</v>
      </c>
    </row>
    <row r="14" spans="1:12" x14ac:dyDescent="0.3">
      <c r="A14">
        <v>3013</v>
      </c>
      <c r="B14" t="s">
        <v>133</v>
      </c>
      <c r="C14" t="s">
        <v>111</v>
      </c>
      <c r="D14">
        <v>40872</v>
      </c>
      <c r="E14" t="s">
        <v>134</v>
      </c>
      <c r="G14" s="1" t="s">
        <v>179</v>
      </c>
      <c r="H14">
        <f>ROUND(D2,-3)</f>
        <v>87000</v>
      </c>
    </row>
    <row r="15" spans="1:12" x14ac:dyDescent="0.3">
      <c r="A15">
        <v>3014</v>
      </c>
      <c r="B15" t="s">
        <v>135</v>
      </c>
      <c r="C15" t="s">
        <v>111</v>
      </c>
      <c r="D15">
        <v>55378</v>
      </c>
      <c r="E15" t="s">
        <v>136</v>
      </c>
      <c r="G15" s="1" t="s">
        <v>180</v>
      </c>
      <c r="H15">
        <f>CEILING(D2,1000)</f>
        <v>87000</v>
      </c>
    </row>
    <row r="16" spans="1:12" x14ac:dyDescent="0.3">
      <c r="A16">
        <v>3015</v>
      </c>
      <c r="B16" t="s">
        <v>137</v>
      </c>
      <c r="C16" t="s">
        <v>111</v>
      </c>
      <c r="D16">
        <v>63297</v>
      </c>
      <c r="E16" t="s">
        <v>138</v>
      </c>
      <c r="G16" s="1" t="s">
        <v>181</v>
      </c>
      <c r="H16">
        <f>FLOOR(D2,1000)</f>
        <v>86000</v>
      </c>
    </row>
    <row r="17" spans="1:5" x14ac:dyDescent="0.3">
      <c r="A17">
        <v>3016</v>
      </c>
      <c r="B17" t="s">
        <v>139</v>
      </c>
      <c r="C17" t="s">
        <v>106</v>
      </c>
      <c r="D17">
        <v>114173</v>
      </c>
      <c r="E17" t="s">
        <v>140</v>
      </c>
    </row>
    <row r="18" spans="1:5" x14ac:dyDescent="0.3">
      <c r="A18">
        <v>3017</v>
      </c>
      <c r="B18" t="s">
        <v>141</v>
      </c>
      <c r="C18" t="s">
        <v>111</v>
      </c>
      <c r="D18">
        <v>86915</v>
      </c>
      <c r="E18" t="s">
        <v>142</v>
      </c>
    </row>
    <row r="19" spans="1:5" x14ac:dyDescent="0.3">
      <c r="A19">
        <v>3018</v>
      </c>
      <c r="B19" t="s">
        <v>143</v>
      </c>
      <c r="C19" t="s">
        <v>116</v>
      </c>
      <c r="D19">
        <v>116284</v>
      </c>
      <c r="E19" t="s">
        <v>144</v>
      </c>
    </row>
    <row r="20" spans="1:5" x14ac:dyDescent="0.3">
      <c r="A20">
        <v>3019</v>
      </c>
      <c r="B20" t="s">
        <v>145</v>
      </c>
      <c r="C20" t="s">
        <v>121</v>
      </c>
      <c r="D20">
        <v>116283</v>
      </c>
      <c r="E20" t="s">
        <v>146</v>
      </c>
    </row>
    <row r="21" spans="1:5" x14ac:dyDescent="0.3">
      <c r="A21">
        <v>3020</v>
      </c>
      <c r="B21" t="s">
        <v>147</v>
      </c>
      <c r="C21" t="s">
        <v>121</v>
      </c>
      <c r="D21">
        <v>99924</v>
      </c>
      <c r="E21" t="s">
        <v>148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Sales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JASANI</cp:lastModifiedBy>
  <dcterms:created xsi:type="dcterms:W3CDTF">2026-02-21T08:29:49Z</dcterms:created>
  <dcterms:modified xsi:type="dcterms:W3CDTF">2026-02-25T13:30:18Z</dcterms:modified>
</cp:coreProperties>
</file>